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渠道账单" sheetId="1" state="visible" r:id="rId1"/>
    <sheet name="PMS数据" sheetId="2" state="visible" r:id="rId2"/>
    <sheet name="差异核对" sheetId="3" state="visible" r:id="rId3"/>
    <sheet name="使用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color rgb="006B7A8D"/>
      <sz val="10"/>
    </font>
    <font>
      <color rgb="00D64541"/>
      <sz val="10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结算金额</t>
        </is>
      </c>
    </row>
    <row r="2">
      <c r="A2" t="n">
        <v>1001</v>
      </c>
      <c r="B2" t="n">
        <v>349.2</v>
      </c>
    </row>
    <row r="3">
      <c r="A3" t="n">
        <v>1002</v>
      </c>
      <c r="B3" t="n">
        <v>698.4</v>
      </c>
    </row>
    <row r="4">
      <c r="A4" t="n">
        <v>1003</v>
      </c>
      <c r="B4" t="n">
        <v>529.2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实收金额</t>
        </is>
      </c>
    </row>
    <row r="2">
      <c r="A2" t="n">
        <v>1001</v>
      </c>
      <c r="B2" t="n">
        <v>349.2</v>
      </c>
    </row>
    <row r="3">
      <c r="A3" t="n">
        <v>1002</v>
      </c>
      <c r="B3" t="n">
        <v>698.4</v>
      </c>
    </row>
    <row r="4">
      <c r="A4" t="n">
        <v>1003</v>
      </c>
      <c r="B4" t="n">
        <v>529.2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渠道订单号</t>
        </is>
      </c>
      <c r="B1" s="1" t="inlineStr">
        <is>
          <t>渠道结算金额</t>
        </is>
      </c>
      <c r="C1" s="1" t="inlineStr">
        <is>
          <t>PMS实收金额</t>
        </is>
      </c>
      <c r="D1" s="1" t="inlineStr">
        <is>
          <t>差异(渠道-PMS)</t>
        </is>
      </c>
    </row>
    <row r="2">
      <c r="A2" t="n">
        <v>1001</v>
      </c>
      <c r="B2">
        <f>VLOOKUP(A2,渠道账单!$A:$B,2,FALSE)</f>
        <v/>
      </c>
      <c r="C2">
        <f>VLOOKUP(A2,PMS数据!$A:$B,2,FALSE)</f>
        <v/>
      </c>
      <c r="D2">
        <f>B2-C2</f>
        <v/>
      </c>
    </row>
    <row r="3">
      <c r="A3" t="n">
        <v>1002</v>
      </c>
      <c r="B3">
        <f>VLOOKUP(A3,渠道账单!$A:$B,2,FALSE)</f>
        <v/>
      </c>
      <c r="C3">
        <f>VLOOKUP(A3,PMS数据!$A:$B,2,FALSE)</f>
        <v/>
      </c>
      <c r="D3">
        <f>B3-C3</f>
        <v/>
      </c>
    </row>
    <row r="4">
      <c r="A4" t="n">
        <v>1003</v>
      </c>
      <c r="B4">
        <f>VLOOKUP(A4,渠道账单!$A:$B,2,FALSE)</f>
        <v/>
      </c>
      <c r="C4">
        <f>VLOOKUP(A4,PMS数据!$A:$B,2,FALSE)</f>
        <v/>
      </c>
      <c r="D4">
        <f>B4-C4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差异核对表(Excel 版)</t>
        </is>
      </c>
    </row>
    <row r="3">
      <c r="A3" s="3" t="inlineStr">
        <is>
          <t>1. 把渠道账单粘贴到「渠道账单」表,把 PMS 数据粘贴到「PMS数据」表</t>
        </is>
      </c>
    </row>
    <row r="4">
      <c r="A4" s="3" t="inlineStr">
        <is>
          <t>2. 在「差异核对」表输入要核对的订单号,公式会自动带出两边金额和差异</t>
        </is>
      </c>
    </row>
    <row r="5">
      <c r="A5" s="3" t="inlineStr">
        <is>
          <t>3. 差异列不为 0 的就是要对账的订单</t>
        </is>
      </c>
    </row>
    <row r="6">
      <c r="A6" s="3" t="inlineStr">
        <is>
          <t>4. 说明:这只是基础核对,自动对账(含 No-show 佣金、漏单、单边单检查)请用「酒店对账工具」</t>
        </is>
      </c>
    </row>
    <row r="8">
      <c r="A8" s="4" t="inlineStr">
        <is>
          <t>提</t>
        </is>
      </c>
    </row>
    <row r="9">
      <c r="A9" s="4" t="inlineStr">
        <is>
          <t>示</t>
        </is>
      </c>
    </row>
    <row r="10">
      <c r="A10" s="4" t="inlineStr">
        <is>
          <t>:</t>
        </is>
      </c>
    </row>
    <row r="11">
      <c r="A11" s="4" t="inlineStr">
        <is>
          <t>订</t>
        </is>
      </c>
    </row>
    <row r="12">
      <c r="A12" s="4" t="inlineStr">
        <is>
          <t>单</t>
        </is>
      </c>
    </row>
    <row r="13">
      <c r="A13" s="4" t="inlineStr">
        <is>
          <t>号</t>
        </is>
      </c>
    </row>
    <row r="14">
      <c r="A14" s="4" t="inlineStr">
        <is>
          <t>较</t>
        </is>
      </c>
    </row>
    <row r="15">
      <c r="A15" s="4" t="inlineStr">
        <is>
          <t>多</t>
        </is>
      </c>
    </row>
    <row r="16">
      <c r="A16" s="4" t="inlineStr">
        <is>
          <t>(</t>
        </is>
      </c>
    </row>
    <row r="17">
      <c r="A17" s="4" t="inlineStr">
        <is>
          <t>几</t>
        </is>
      </c>
    </row>
    <row r="18">
      <c r="A18" s="4" t="inlineStr">
        <is>
          <t>百</t>
        </is>
      </c>
    </row>
    <row r="19">
      <c r="A19" s="4" t="inlineStr">
        <is>
          <t>行</t>
        </is>
      </c>
    </row>
    <row r="20">
      <c r="A20" s="4" t="inlineStr">
        <is>
          <t>)</t>
        </is>
      </c>
    </row>
    <row r="21">
      <c r="A21" s="4" t="inlineStr">
        <is>
          <t>时</t>
        </is>
      </c>
    </row>
    <row r="22">
      <c r="A22" s="4" t="inlineStr">
        <is>
          <t>,</t>
        </is>
      </c>
    </row>
    <row r="23">
      <c r="A23" s="4" t="inlineStr">
        <is>
          <t>公</t>
        </is>
      </c>
    </row>
    <row r="24">
      <c r="A24" s="4" t="inlineStr">
        <is>
          <t>式</t>
        </is>
      </c>
    </row>
    <row r="25">
      <c r="A25" s="4" t="inlineStr">
        <is>
          <t>版</t>
        </is>
      </c>
    </row>
    <row r="26">
      <c r="A26" s="4" t="inlineStr">
        <is>
          <t>会</t>
        </is>
      </c>
    </row>
    <row r="27">
      <c r="A27" s="4" t="inlineStr">
        <is>
          <t>卡</t>
        </is>
      </c>
    </row>
    <row r="28">
      <c r="A28" s="4" t="inlineStr">
        <is>
          <t>;</t>
        </is>
      </c>
    </row>
    <row r="29">
      <c r="A29" s="4" t="inlineStr">
        <is>
          <t>此</t>
        </is>
      </c>
    </row>
    <row r="30">
      <c r="A30" s="4" t="inlineStr">
        <is>
          <t>时</t>
        </is>
      </c>
    </row>
    <row r="31">
      <c r="A31" s="4" t="inlineStr">
        <is>
          <t>建</t>
        </is>
      </c>
    </row>
    <row r="32">
      <c r="A32" s="4" t="inlineStr">
        <is>
          <t>议</t>
        </is>
      </c>
    </row>
    <row r="33">
      <c r="A33" s="4" t="inlineStr">
        <is>
          <t>用</t>
        </is>
      </c>
    </row>
    <row r="34">
      <c r="A34" s="4" t="inlineStr">
        <is>
          <t>自</t>
        </is>
      </c>
    </row>
    <row r="35">
      <c r="A35" s="4" t="inlineStr">
        <is>
          <t>动</t>
        </is>
      </c>
    </row>
    <row r="36">
      <c r="A36" s="4" t="inlineStr">
        <is>
          <t>对</t>
        </is>
      </c>
    </row>
    <row r="37">
      <c r="A37" s="4" t="inlineStr">
        <is>
          <t>账</t>
        </is>
      </c>
    </row>
    <row r="38">
      <c r="A38" s="4" t="inlineStr">
        <is>
          <t>工</t>
        </is>
      </c>
    </row>
    <row r="39">
      <c r="A39" s="4" t="inlineStr">
        <is>
          <t>具</t>
        </is>
      </c>
    </row>
    <row r="40">
      <c r="A40" s="4" t="inlineStr">
        <is>
          <t>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2026-08-26T01:44:14Z</dcterms:created>
  <dcterms:modified xsi:type="dcterms:W3CDTF">2026-08-26T01:44:14Z</dcterms:modified>
</cp:coreProperties>
</file>